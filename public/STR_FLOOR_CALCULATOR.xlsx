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damianopesciaioli/Desktop/LUx Oasis Group /Lux Oasis Advisory &amp; Services FZE /Oasis Revenue Lab :  revenue manager manager /Pricing floor calculator/"/>
    </mc:Choice>
  </mc:AlternateContent>
  <xr:revisionPtr revIDLastSave="0" documentId="13_ncr:1_{97D2E65B-693E-A54C-AB5B-D2793A83F47D}" xr6:coauthVersionLast="47" xr6:coauthVersionMax="47" xr10:uidLastSave="{00000000-0000-0000-0000-000000000000}"/>
  <bookViews>
    <workbookView xWindow="0" yWindow="600" windowWidth="28800" windowHeight="16640" tabRatio="500" activeTab="1" xr2:uid="{00000000-000D-0000-FFFF-FFFF00000000}"/>
  </bookViews>
  <sheets>
    <sheet name="1 - FILL YOUR COSTS" sheetId="1" r:id="rId1"/>
    <sheet name="2 - YOUR RESULT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4" i="2" l="1"/>
  <c r="C44" i="2"/>
  <c r="G43" i="2"/>
  <c r="C43" i="2"/>
  <c r="G42" i="2"/>
  <c r="C42" i="2"/>
  <c r="G41" i="2"/>
  <c r="C41" i="2"/>
  <c r="G40" i="2"/>
  <c r="C40" i="2"/>
  <c r="G39" i="2"/>
  <c r="C39" i="2"/>
  <c r="G38" i="2"/>
  <c r="C38" i="2"/>
  <c r="G37" i="2"/>
  <c r="C37" i="2"/>
  <c r="G36" i="2"/>
  <c r="C36" i="2"/>
  <c r="G35" i="2"/>
  <c r="C35" i="2"/>
  <c r="C34" i="1"/>
  <c r="C39" i="1" s="1"/>
  <c r="F4" i="1" s="1"/>
  <c r="C25" i="1"/>
  <c r="F3" i="1" s="1"/>
  <c r="C14" i="1"/>
  <c r="C41" i="1" s="1"/>
  <c r="F6" i="1"/>
  <c r="F5" i="1"/>
  <c r="C20" i="2" l="1"/>
  <c r="C6" i="2"/>
  <c r="C7" i="2"/>
  <c r="C21" i="2"/>
  <c r="F1" i="1"/>
  <c r="F2" i="1"/>
  <c r="C19" i="2" l="1"/>
  <c r="C5" i="2"/>
  <c r="F44" i="2"/>
  <c r="E41" i="2"/>
  <c r="E44" i="2"/>
  <c r="D41" i="2"/>
  <c r="F39" i="2"/>
  <c r="E36" i="2"/>
  <c r="C31" i="2"/>
  <c r="D36" i="2"/>
  <c r="C30" i="2"/>
  <c r="D42" i="2"/>
  <c r="F40" i="2"/>
  <c r="E37" i="2"/>
  <c r="C28" i="2"/>
  <c r="C17" i="2"/>
  <c r="D44" i="2"/>
  <c r="F42" i="2"/>
  <c r="E39" i="2"/>
  <c r="E42" i="2"/>
  <c r="D39" i="2"/>
  <c r="F37" i="2"/>
  <c r="C29" i="2"/>
  <c r="C18" i="2"/>
  <c r="F35" i="2"/>
  <c r="C27" i="2"/>
  <c r="C8" i="2"/>
  <c r="D40" i="2"/>
  <c r="F38" i="2"/>
  <c r="E35" i="2"/>
  <c r="C26" i="2"/>
  <c r="D43" i="2"/>
  <c r="F41" i="2"/>
  <c r="E38" i="2"/>
  <c r="D35" i="2"/>
  <c r="C22" i="2"/>
  <c r="D38" i="2"/>
  <c r="F36" i="2"/>
  <c r="F43" i="2"/>
  <c r="E40" i="2"/>
  <c r="D37" i="2"/>
  <c r="E43" i="2"/>
</calcChain>
</file>

<file path=xl/sharedStrings.xml><?xml version="1.0" encoding="utf-8"?>
<sst xmlns="http://schemas.openxmlformats.org/spreadsheetml/2006/main" count="130" uniqueCount="127">
  <si>
    <t>STR Pricing Calculator — Single Property</t>
  </si>
  <si>
    <t>Fill YELLOW cells only. Column D explains each item. Then go to  →  2 - YOUR RESULTS</t>
  </si>
  <si>
    <t>YOUR PROPERTY</t>
  </si>
  <si>
    <t>Property / unit name</t>
  </si>
  <si>
    <t>FIXED COSTS  —  paid every month even with zero bookings</t>
  </si>
  <si>
    <t>Cost item</t>
  </si>
  <si>
    <t>AED / month</t>
  </si>
  <si>
    <t>What is this?</t>
  </si>
  <si>
    <t>Rent / monthly lease</t>
  </si>
  <si>
    <t>The amount you pay your landlord each month</t>
  </si>
  <si>
    <t>Internet (Du / Etisalat / Virgin)</t>
  </si>
  <si>
    <t>Your fixed broadband plan — e.g. AED 229–375/month</t>
  </si>
  <si>
    <t>Insurance</t>
  </si>
  <si>
    <t>Home, contents or liability insurance — e.g. AED 44–100/month</t>
  </si>
  <si>
    <t>DTCM permit  (annual fee ÷ 12)</t>
  </si>
  <si>
    <t>Your annual tourist licence cost divided by 12</t>
  </si>
  <si>
    <t>Other fixed cost  (optional)</t>
  </si>
  <si>
    <t>e.g. building management fee, parking — or leave as 0</t>
  </si>
  <si>
    <t>Fixed costs subtotal</t>
  </si>
  <si>
    <t>Auto-calculated — do not edit</t>
  </si>
  <si>
    <t>VARIABLE COSTS  —  change month to month with bookings</t>
  </si>
  <si>
    <t>AED / month (avg)</t>
  </si>
  <si>
    <t>Tip</t>
  </si>
  <si>
    <t>DEWA (electricity)</t>
  </si>
  <si>
    <t>Use your 3-month average — typically AED 500–1,100/month</t>
  </si>
  <si>
    <t>Mpower / district chiller</t>
  </si>
  <si>
    <t>If your building has district cooling — else put 0</t>
  </si>
  <si>
    <t>Cleaning company payout</t>
  </si>
  <si>
    <t>What you pay your cleaning company on average per month</t>
  </si>
  <si>
    <t>Consumables  (toiletries, welcome pack, coffee)</t>
  </si>
  <si>
    <t>Everything you restock for guests — e.g. AED 50–150</t>
  </si>
  <si>
    <t>Guest care / call-outs</t>
  </si>
  <si>
    <t>Lockouts, issues, last-minute extras — e.g. AED 50–100</t>
  </si>
  <si>
    <t>Maintenance  (3-month rolling average)</t>
  </si>
  <si>
    <t>Minor repairs, upkeep — use a 3-month rolling average</t>
  </si>
  <si>
    <t>Miscellaneous</t>
  </si>
  <si>
    <t>Anything small that doesn't fit above — e.g. AED 100–200</t>
  </si>
  <si>
    <t>Variable costs subtotal</t>
  </si>
  <si>
    <t>BUSINESS OVERHEAD  —  automatically shared across your units</t>
  </si>
  <si>
    <t>Software  (Hostaway, PriceLabs, Quickbooks…)</t>
  </si>
  <si>
    <t>All software you use — pro-rated if shared across units</t>
  </si>
  <si>
    <t>Staff / VA / property manager share</t>
  </si>
  <si>
    <t>Your total team cost — will be split across units below</t>
  </si>
  <si>
    <t>Licences &amp; accounting  (DED, DTCM, accountant)</t>
  </si>
  <si>
    <t>Annual fees divided by 12 — pro-rated share</t>
  </si>
  <si>
    <t>Marketing  (Google Ads, listing boosts, etc.)</t>
  </si>
  <si>
    <t>Monthly average across all your marketing spend</t>
  </si>
  <si>
    <t>Other overhead  (optional)</t>
  </si>
  <si>
    <t>Anything else — or leave 0</t>
  </si>
  <si>
    <t>Total monthly business overhead</t>
  </si>
  <si>
    <t>Your total — will be split by number of units below</t>
  </si>
  <si>
    <t>OVERHEAD ALLOCATION  —  how overhead is split across your units</t>
  </si>
  <si>
    <t>Business overhead (software, staff, admin) should be split equally across all the units you manage — not loaded entirely onto one unit. If you only manage 1 unit, enter 1 below and the full overhead applies. If you manage more, this calculator automatically allocates only your fair share to this property.</t>
  </si>
  <si>
    <t>Number of active units you manage  (enter 1 if only this property)</t>
  </si>
  <si>
    <t>If you only manage 1 unit, enter 1 — full overhead applies. If you manage more, enter the total. Overhead divides automatically.</t>
  </si>
  <si>
    <t>Allocated overhead for THIS unit  (auto-calculated)</t>
  </si>
  <si>
    <t>This is what gets added to your break-even — not the full overhead total.</t>
  </si>
  <si>
    <t>TOTAL MONTHLY COST FOR THIS UNIT</t>
  </si>
  <si>
    <t>Fixed costs + Variable costs + Allocated overhead ✓  Now go to tab  →  2 - YOUR RESULTS</t>
  </si>
  <si>
    <t>Your Results — Break-Even, Pricing Floor &amp; PriceLabs Settings</t>
  </si>
  <si>
    <t>All numbers pull automatically from tab 1. Fill the 2 yellow cells below — defaults work for most Dubai properties.</t>
  </si>
  <si>
    <t>YOUR COST SUMMARY  (auto from tab 1 — nothing to fill here)</t>
  </si>
  <si>
    <t>Fixed costs / month</t>
  </si>
  <si>
    <t>Rent, internet, insurance, DTCM</t>
  </si>
  <si>
    <t>Variable costs / month</t>
  </si>
  <si>
    <t>DEWA, cleaning, maintenance, ops</t>
  </si>
  <si>
    <t>Overhead allocated to this unit</t>
  </si>
  <si>
    <t>Your fair share — total overhead ÷ number of units</t>
  </si>
  <si>
    <t>TOTAL COST FOR THIS UNIT</t>
  </si>
  <si>
    <t>Fixed + variable + allocated overhead</t>
  </si>
  <si>
    <t>Overhead shown above is your allocated share only (total overhead ÷ number of units you manage). This means break-even reflects the true cost of THIS unit, not your whole business.</t>
  </si>
  <si>
    <t>YOUR TARGETS  —  2 cells to fill</t>
  </si>
  <si>
    <t>Target occupied nights per month</t>
  </si>
  <si>
    <t>Default = 26 nights (85% occupancy on 31 days). After your free consultation, Oasis Revenue Lab will set your personalised target.</t>
  </si>
  <si>
    <t>Safety buffer above break-even  (%)</t>
  </si>
  <si>
    <t>Default = 15% (standard Dubai STR). New listing → 20%. High competition → 10%. We'll personalise this on your free consultation call.</t>
  </si>
  <si>
    <t>Want your personalised targets?  Book a free call →  WhatsApp +971527604550  |  info@luxoasisholidayhomes.com  |  luxoasisholidayhomes.com</t>
  </si>
  <si>
    <t>YOUR KEY NUMBERS</t>
  </si>
  <si>
    <t>Break-even nightly rate</t>
  </si>
  <si>
    <t>Minimum rate to cover ALL costs — below this you lose money</t>
  </si>
  <si>
    <t>Your pricing floor  (set this in PriceLabs as Minimum Price)</t>
  </si>
  <si>
    <t>Break-even + safety buffer = never accept below this</t>
  </si>
  <si>
    <t>Fixed cost per night</t>
  </si>
  <si>
    <t>Rent + fixed costs spread across your booked nights</t>
  </si>
  <si>
    <t>Variable cost per night</t>
  </si>
  <si>
    <t>Utilities + cleaning + ops per booked night</t>
  </si>
  <si>
    <t>Allocated overhead per night</t>
  </si>
  <si>
    <t>Your overhead share for this unit per booked night</t>
  </si>
  <si>
    <t>Estimated monthly profit at pricing floor</t>
  </si>
  <si>
    <t>Revenue at floor price × target nights, minus total costs</t>
  </si>
  <si>
    <t>PRICELABS SETTINGS  —  copy these 6 numbers into PriceLabs</t>
  </si>
  <si>
    <t>Rule</t>
  </si>
  <si>
    <t>AED / night</t>
  </si>
  <si>
    <t>When to apply</t>
  </si>
  <si>
    <t>1.  Minimum price  (your hard floor)</t>
  </si>
  <si>
    <t>Set as 'Minimum Price' in PriceLabs. Never accept below this.</t>
  </si>
  <si>
    <t>2.  Last-minute floor  (3 days or fewer)</t>
  </si>
  <si>
    <t>Last-minute discounts stop here — 5% above break-even.</t>
  </si>
  <si>
    <t>3.  Orphan gap fill  (1–2 night gaps)</t>
  </si>
  <si>
    <t>Fill short gaps at break-even — better than staying empty.</t>
  </si>
  <si>
    <t>4.  Low-season base price  (Jun–Sep)</t>
  </si>
  <si>
    <t>Slow months floor — 20% above break-even minimum.</t>
  </si>
  <si>
    <t>5.  Weekend floor  (Fri &amp; Sat nights)</t>
  </si>
  <si>
    <t>Weekend premium — minimum 35% above break-even.</t>
  </si>
  <si>
    <t>6.  Peak season minimum  (Nov, Dec, New Year)</t>
  </si>
  <si>
    <t>Peak periods — push hard, floor at 60% above break-even.</t>
  </si>
  <si>
    <t>OCCUPANCY SENSITIVITY  —  how your cost per night changes at different booking levels</t>
  </si>
  <si>
    <t>Nights booked</t>
  </si>
  <si>
    <t>Occupancy %</t>
  </si>
  <si>
    <t>Cost / night (at scenario occupancy)</t>
  </si>
  <si>
    <t>Pricing floor (scenario-specific)</t>
  </si>
  <si>
    <t>Monthly profit (at target floor price)</t>
  </si>
  <si>
    <t>Status</t>
  </si>
  <si>
    <t>10 nights</t>
  </si>
  <si>
    <t>15 nights</t>
  </si>
  <si>
    <t>18 nights</t>
  </si>
  <si>
    <t>20 nights</t>
  </si>
  <si>
    <t>22 nights</t>
  </si>
  <si>
    <t>24 nights</t>
  </si>
  <si>
    <t>26 nights</t>
  </si>
  <si>
    <t>28 nights</t>
  </si>
  <si>
    <t>30 nights</t>
  </si>
  <si>
    <t>31 nights</t>
  </si>
  <si>
    <t>Oasis Revenue Lab — Professional Revenue Management for Dubai STR</t>
  </si>
  <si>
    <t>WhatsApp: +971527604550</t>
  </si>
  <si>
    <t>Web: luxoasisholidayhomes.com  |  Free consultation · No commitment</t>
  </si>
  <si>
    <t>Email: info@luxoasisholidayhomes.com / oasisrevenuelab@gmail.com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</si>
</sst>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"/>
  </numFmts>
  <fonts count="12" x14ac:knownFonts="1">
    <font>
      <sz val="11"/>
      <color theme="1"/>
      <name val="Calibri"/>
      <family val="2"/>
      <charset val="1"/>
    </font>
    <font>
      <sz val="10"/>
      <color rgb="FF000000"/>
      <name val="Arial"/>
      <family val="2"/>
    </font>
    <font>
      <b/>
      <sz val="10"/>
      <color rgb="FF1A3C8F"/>
      <name val="Arial"/>
      <family val="2"/>
    </font>
    <font>
      <i/>
      <sz val="9"/>
      <color rgb="FF333333"/>
      <name val="Arial"/>
      <family val="2"/>
    </font>
    <font>
      <b/>
      <sz val="12"/>
      <color rgb="FF0000CC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222222"/>
      <name val="Arial"/>
      <family val="2"/>
    </font>
    <font>
      <b/>
      <sz val="14"/>
      <color rgb="FFFFFFFF"/>
      <name val="Arial"/>
      <family val="2"/>
    </font>
    <font>
      <b/>
      <sz val="10"/>
      <color rgb="FF1D4E89"/>
      <name val="Arial"/>
      <family val="2"/>
    </font>
    <font>
      <b/>
      <sz val="11"/>
      <color rgb="FFFFFFFF"/>
      <name val="Arial"/>
      <family val="2"/>
    </font>
    <font>
      <b/>
      <sz val="11"/>
      <color rgb="FF0F6E56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E8EEF9"/>
        <bgColor rgb="FFEDE7F6"/>
      </patternFill>
    </fill>
    <fill>
      <patternFill patternType="solid">
        <fgColor rgb="FFFFFFFF"/>
        <bgColor rgb="FFFFFDE7"/>
      </patternFill>
    </fill>
    <fill>
      <patternFill patternType="solid">
        <fgColor rgb="FFF5F5F5"/>
        <bgColor rgb="FFE8EEF9"/>
      </patternFill>
    </fill>
    <fill>
      <patternFill patternType="solid">
        <fgColor rgb="FFFFF9C4"/>
        <bgColor rgb="FFFFFDE7"/>
      </patternFill>
    </fill>
    <fill>
      <patternFill patternType="solid">
        <fgColor rgb="FF1D4E89"/>
        <bgColor rgb="FF1A3C8F"/>
      </patternFill>
    </fill>
    <fill>
      <patternFill patternType="solid">
        <fgColor rgb="FF595959"/>
        <bgColor rgb="FF444444"/>
      </patternFill>
    </fill>
    <fill>
      <patternFill patternType="solid">
        <fgColor rgb="FF0F6E56"/>
        <bgColor rgb="FF008080"/>
      </patternFill>
    </fill>
    <fill>
      <patternFill patternType="solid">
        <fgColor rgb="FF444444"/>
        <bgColor rgb="FF333333"/>
      </patternFill>
    </fill>
    <fill>
      <patternFill patternType="solid">
        <fgColor rgb="FF4A148C"/>
        <bgColor rgb="FF800080"/>
      </patternFill>
    </fill>
    <fill>
      <patternFill patternType="solid">
        <fgColor rgb="FFEDE7F6"/>
        <bgColor rgb="FFE8EEF9"/>
      </patternFill>
    </fill>
    <fill>
      <patternFill patternType="solid">
        <fgColor rgb="FFFFFDE7"/>
        <bgColor rgb="FFFFFFFF"/>
      </patternFill>
    </fill>
    <fill>
      <patternFill patternType="solid">
        <fgColor rgb="FF1A3C8F"/>
        <bgColor rgb="FF1D4E89"/>
      </patternFill>
    </fill>
  </fills>
  <borders count="2">
    <border>
      <left/>
      <right/>
      <top/>
      <bottom/>
      <diagonal/>
    </border>
    <border>
      <left style="thin">
        <color rgb="FFC5CDE8"/>
      </left>
      <right style="thin">
        <color rgb="FFC5CDE8"/>
      </right>
      <top style="thin">
        <color rgb="FFC5CDE8"/>
      </top>
      <bottom style="thin">
        <color rgb="FFC5CDE8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6" fillId="7" borderId="1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left" vertical="center" wrapText="1"/>
    </xf>
    <xf numFmtId="0" fontId="6" fillId="7" borderId="1" xfId="0" applyFont="1" applyFill="1" applyBorder="1" applyAlignment="1">
      <alignment horizontal="right" vertical="center" wrapText="1"/>
    </xf>
    <xf numFmtId="164" fontId="4" fillId="5" borderId="1" xfId="0" applyNumberFormat="1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right" vertical="center" wrapText="1"/>
    </xf>
    <xf numFmtId="0" fontId="7" fillId="4" borderId="1" xfId="0" applyFont="1" applyFill="1" applyBorder="1" applyAlignment="1">
      <alignment horizontal="left" vertical="center" wrapText="1"/>
    </xf>
    <xf numFmtId="1" fontId="4" fillId="5" borderId="1" xfId="0" applyNumberFormat="1" applyFont="1" applyFill="1" applyBorder="1" applyAlignment="1">
      <alignment horizontal="right" vertical="center" wrapText="1"/>
    </xf>
    <xf numFmtId="0" fontId="1" fillId="13" borderId="1" xfId="0" applyFont="1" applyFill="1" applyBorder="1" applyAlignment="1">
      <alignment horizontal="lef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0C0C0"/>
      <rgbColor rgb="FF808080"/>
      <rgbColor rgb="FF9999FF"/>
      <rgbColor rgb="FF993366"/>
      <rgbColor rgb="FFFFF9C4"/>
      <rgbColor rgb="FFE8EEF9"/>
      <rgbColor rgb="FF4A148C"/>
      <rgbColor rgb="FFFF8080"/>
      <rgbColor rgb="FF0066CC"/>
      <rgbColor rgb="FFC5CD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DE7F6"/>
      <rgbColor rgb="FFFFFD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D4E89"/>
      <rgbColor rgb="FF339966"/>
      <rgbColor rgb="FF444444"/>
      <rgbColor rgb="FF222222"/>
      <rgbColor rgb="FF993300"/>
      <rgbColor rgb="FF993366"/>
      <rgbColor rgb="FF1A3C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2120900</xdr:colOff>
      <xdr:row>0</xdr:row>
      <xdr:rowOff>50800</xdr:rowOff>
    </xdr:from>
    <xdr:to>
      <xdr:col>3</xdr:col>
      <xdr:colOff>2768600</xdr:colOff>
      <xdr:row>0</xdr:row>
      <xdr:rowOff>660400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235700" y="50800"/>
          <a:ext cx="647700" cy="609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571500</xdr:colOff>
      <xdr:row>0</xdr:row>
      <xdr:rowOff>101600</xdr:rowOff>
    </xdr:from>
    <xdr:to>
      <xdr:col>6</xdr:col>
      <xdr:colOff>1047420</xdr:colOff>
      <xdr:row>0</xdr:row>
      <xdr:rowOff>577520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915900" y="101600"/>
          <a:ext cx="475920" cy="475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showGridLines="0" topLeftCell="A67" zoomScale="150" zoomScaleNormal="100" workbookViewId="0">
      <selection activeCell="C39" sqref="C39"/>
    </sheetView>
  </sheetViews>
  <sheetFormatPr baseColWidth="10" defaultColWidth="8.6640625" defaultRowHeight="15" x14ac:dyDescent="0.2"/>
  <cols>
    <col min="1" max="1" width="2" customWidth="1"/>
    <col min="2" max="2" width="36" customWidth="1"/>
    <col min="3" max="3" width="16" customWidth="1"/>
    <col min="4" max="4" width="38" customWidth="1"/>
    <col min="5" max="5" width="2" customWidth="1"/>
    <col min="6" max="6" width="14" customWidth="1"/>
  </cols>
  <sheetData>
    <row r="1" spans="1:6" ht="54.75" customHeight="1" x14ac:dyDescent="0.2">
      <c r="A1" s="4"/>
      <c r="B1" s="29" t="s">
        <v>0</v>
      </c>
      <c r="C1" s="29"/>
      <c r="D1" s="29"/>
      <c r="E1" s="4"/>
      <c r="F1" s="3">
        <f>C14+C25+C39</f>
        <v>0</v>
      </c>
    </row>
    <row r="2" spans="1:6" ht="25.5" customHeight="1" x14ac:dyDescent="0.2">
      <c r="A2" s="4"/>
      <c r="B2" s="30" t="s">
        <v>1</v>
      </c>
      <c r="C2" s="30"/>
      <c r="D2" s="30"/>
      <c r="E2" s="4"/>
      <c r="F2" s="5">
        <f>C14</f>
        <v>0</v>
      </c>
    </row>
    <row r="3" spans="1:6" ht="6" customHeight="1" x14ac:dyDescent="0.2">
      <c r="A3" s="6"/>
      <c r="B3" s="6"/>
      <c r="C3" s="6"/>
      <c r="D3" s="6"/>
      <c r="E3" s="6"/>
      <c r="F3" s="7">
        <f>C25</f>
        <v>0</v>
      </c>
    </row>
    <row r="4" spans="1:6" ht="25.5" customHeight="1" x14ac:dyDescent="0.2">
      <c r="A4" s="4"/>
      <c r="B4" s="29" t="s">
        <v>2</v>
      </c>
      <c r="C4" s="29"/>
      <c r="D4" s="29"/>
      <c r="E4" s="4"/>
      <c r="F4" s="8">
        <f>C39</f>
        <v>0</v>
      </c>
    </row>
    <row r="5" spans="1:6" ht="24" customHeight="1" x14ac:dyDescent="0.2">
      <c r="A5" s="9"/>
      <c r="B5" s="10" t="s">
        <v>3</v>
      </c>
      <c r="C5" s="31"/>
      <c r="D5" s="31"/>
      <c r="E5" s="9"/>
      <c r="F5" s="11">
        <f>C38</f>
        <v>1</v>
      </c>
    </row>
    <row r="6" spans="1:6" ht="6" customHeight="1" x14ac:dyDescent="0.2">
      <c r="A6" s="6"/>
      <c r="B6" s="6"/>
      <c r="C6" s="6"/>
      <c r="D6" s="6"/>
      <c r="E6" s="6"/>
      <c r="F6" s="7">
        <f>C34</f>
        <v>0</v>
      </c>
    </row>
    <row r="7" spans="1:6" ht="30" customHeight="1" x14ac:dyDescent="0.2">
      <c r="A7" s="9"/>
      <c r="B7" s="32" t="s">
        <v>4</v>
      </c>
      <c r="C7" s="32"/>
      <c r="D7" s="32"/>
      <c r="E7" s="9"/>
      <c r="F7" s="9"/>
    </row>
    <row r="8" spans="1:6" ht="21.75" customHeight="1" x14ac:dyDescent="0.2">
      <c r="A8" s="9"/>
      <c r="B8" s="1" t="s">
        <v>5</v>
      </c>
      <c r="C8" s="12" t="s">
        <v>6</v>
      </c>
      <c r="D8" s="1" t="s">
        <v>7</v>
      </c>
      <c r="E8" s="9"/>
      <c r="F8" s="9"/>
    </row>
    <row r="9" spans="1:6" ht="16" x14ac:dyDescent="0.2">
      <c r="A9" s="9"/>
      <c r="B9" s="10" t="s">
        <v>8</v>
      </c>
      <c r="C9" s="13"/>
      <c r="D9" s="10" t="s">
        <v>9</v>
      </c>
      <c r="E9" s="9"/>
      <c r="F9" s="9"/>
    </row>
    <row r="10" spans="1:6" ht="28" x14ac:dyDescent="0.2">
      <c r="A10" s="9"/>
      <c r="B10" s="10" t="s">
        <v>10</v>
      </c>
      <c r="C10" s="13"/>
      <c r="D10" s="10" t="s">
        <v>11</v>
      </c>
      <c r="E10" s="9"/>
      <c r="F10" s="9"/>
    </row>
    <row r="11" spans="1:6" ht="28" x14ac:dyDescent="0.2">
      <c r="A11" s="9"/>
      <c r="B11" s="10" t="s">
        <v>12</v>
      </c>
      <c r="C11" s="13"/>
      <c r="D11" s="10" t="s">
        <v>13</v>
      </c>
      <c r="E11" s="9"/>
      <c r="F11" s="9"/>
    </row>
    <row r="12" spans="1:6" ht="22" customHeight="1" x14ac:dyDescent="0.2">
      <c r="A12" s="9"/>
      <c r="B12" s="10" t="s">
        <v>14</v>
      </c>
      <c r="C12" s="13"/>
      <c r="D12" s="10" t="s">
        <v>15</v>
      </c>
      <c r="E12" s="9"/>
      <c r="F12" s="9"/>
    </row>
    <row r="13" spans="1:6" ht="28" x14ac:dyDescent="0.2">
      <c r="A13" s="9"/>
      <c r="B13" s="10" t="s">
        <v>16</v>
      </c>
      <c r="C13" s="13"/>
      <c r="D13" s="10" t="s">
        <v>17</v>
      </c>
      <c r="E13" s="9"/>
      <c r="F13" s="9"/>
    </row>
    <row r="14" spans="1:6" ht="25.5" customHeight="1" x14ac:dyDescent="0.2">
      <c r="A14" s="4"/>
      <c r="B14" s="3" t="s">
        <v>18</v>
      </c>
      <c r="C14" s="14">
        <f>SUM(C9:C13)</f>
        <v>0</v>
      </c>
      <c r="D14" s="3" t="s">
        <v>19</v>
      </c>
      <c r="E14" s="4"/>
      <c r="F14" s="4"/>
    </row>
    <row r="15" spans="1:6" ht="6" customHeight="1" x14ac:dyDescent="0.2">
      <c r="A15" s="6"/>
      <c r="B15" s="6"/>
      <c r="C15" s="6"/>
      <c r="D15" s="6"/>
      <c r="E15" s="6"/>
      <c r="F15" s="9"/>
    </row>
    <row r="16" spans="1:6" ht="30" customHeight="1" x14ac:dyDescent="0.2">
      <c r="A16" s="9"/>
      <c r="B16" s="25" t="s">
        <v>20</v>
      </c>
      <c r="C16" s="25"/>
      <c r="D16" s="25"/>
      <c r="E16" s="9"/>
      <c r="F16" s="9"/>
    </row>
    <row r="17" spans="1:6" ht="21.75" customHeight="1" x14ac:dyDescent="0.2">
      <c r="A17" s="9"/>
      <c r="B17" s="1" t="s">
        <v>5</v>
      </c>
      <c r="C17" s="12" t="s">
        <v>21</v>
      </c>
      <c r="D17" s="1" t="s">
        <v>22</v>
      </c>
      <c r="E17" s="9"/>
      <c r="F17" s="9"/>
    </row>
    <row r="18" spans="1:6" ht="28" x14ac:dyDescent="0.2">
      <c r="A18" s="9"/>
      <c r="B18" s="10" t="s">
        <v>23</v>
      </c>
      <c r="C18" s="13"/>
      <c r="D18" s="10" t="s">
        <v>24</v>
      </c>
      <c r="E18" s="9"/>
      <c r="F18" s="9"/>
    </row>
    <row r="19" spans="1:6" ht="16" x14ac:dyDescent="0.2">
      <c r="A19" s="9"/>
      <c r="B19" s="10" t="s">
        <v>25</v>
      </c>
      <c r="C19" s="13"/>
      <c r="D19" s="10" t="s">
        <v>26</v>
      </c>
      <c r="E19" s="9"/>
      <c r="F19" s="9"/>
    </row>
    <row r="20" spans="1:6" ht="28" x14ac:dyDescent="0.2">
      <c r="A20" s="9"/>
      <c r="B20" s="10" t="s">
        <v>27</v>
      </c>
      <c r="C20" s="13"/>
      <c r="D20" s="10" t="s">
        <v>28</v>
      </c>
      <c r="E20" s="9"/>
      <c r="F20" s="9"/>
    </row>
    <row r="21" spans="1:6" ht="28" x14ac:dyDescent="0.2">
      <c r="A21" s="9"/>
      <c r="B21" s="10" t="s">
        <v>29</v>
      </c>
      <c r="C21" s="13"/>
      <c r="D21" s="10" t="s">
        <v>30</v>
      </c>
      <c r="E21" s="9"/>
      <c r="F21" s="9"/>
    </row>
    <row r="22" spans="1:6" ht="27.75" customHeight="1" x14ac:dyDescent="0.2">
      <c r="A22" s="9"/>
      <c r="B22" s="10" t="s">
        <v>31</v>
      </c>
      <c r="C22" s="13"/>
      <c r="D22" s="10" t="s">
        <v>32</v>
      </c>
      <c r="E22" s="9"/>
      <c r="F22" s="9"/>
    </row>
    <row r="23" spans="1:6" ht="28" x14ac:dyDescent="0.2">
      <c r="A23" s="9"/>
      <c r="B23" s="10" t="s">
        <v>33</v>
      </c>
      <c r="C23" s="13"/>
      <c r="D23" s="10" t="s">
        <v>34</v>
      </c>
      <c r="E23" s="9"/>
      <c r="F23" s="9"/>
    </row>
    <row r="24" spans="1:6" ht="28" x14ac:dyDescent="0.2">
      <c r="A24" s="9"/>
      <c r="B24" s="10" t="s">
        <v>35</v>
      </c>
      <c r="C24" s="13"/>
      <c r="D24" s="10" t="s">
        <v>36</v>
      </c>
      <c r="E24" s="9"/>
      <c r="F24" s="9"/>
    </row>
    <row r="25" spans="1:6" ht="25.5" customHeight="1" x14ac:dyDescent="0.2">
      <c r="A25" s="4"/>
      <c r="B25" s="3" t="s">
        <v>37</v>
      </c>
      <c r="C25" s="14">
        <f>SUM(C18:C24)</f>
        <v>0</v>
      </c>
      <c r="D25" s="3" t="s">
        <v>19</v>
      </c>
      <c r="E25" s="4"/>
      <c r="F25" s="4"/>
    </row>
    <row r="26" spans="1:6" ht="6" customHeight="1" x14ac:dyDescent="0.2">
      <c r="A26" s="6"/>
      <c r="B26" s="6"/>
      <c r="C26" s="6"/>
      <c r="D26" s="6"/>
      <c r="E26" s="6"/>
      <c r="F26" s="9"/>
    </row>
    <row r="27" spans="1:6" ht="30" customHeight="1" x14ac:dyDescent="0.2">
      <c r="A27" s="9"/>
      <c r="B27" s="26" t="s">
        <v>38</v>
      </c>
      <c r="C27" s="26"/>
      <c r="D27" s="26"/>
      <c r="E27" s="9"/>
      <c r="F27" s="9"/>
    </row>
    <row r="28" spans="1:6" ht="21.75" customHeight="1" x14ac:dyDescent="0.2">
      <c r="A28" s="9"/>
      <c r="B28" s="15"/>
      <c r="C28" s="16" t="s">
        <v>6</v>
      </c>
      <c r="D28" s="15"/>
      <c r="E28" s="9"/>
      <c r="F28" s="9"/>
    </row>
    <row r="29" spans="1:6" ht="28" x14ac:dyDescent="0.2">
      <c r="A29" s="9"/>
      <c r="B29" s="10" t="s">
        <v>39</v>
      </c>
      <c r="C29" s="13"/>
      <c r="D29" s="10" t="s">
        <v>40</v>
      </c>
      <c r="E29" s="9"/>
      <c r="F29" s="9"/>
    </row>
    <row r="30" spans="1:6" ht="28" x14ac:dyDescent="0.2">
      <c r="A30" s="9"/>
      <c r="B30" s="10" t="s">
        <v>41</v>
      </c>
      <c r="C30" s="13"/>
      <c r="D30" s="10" t="s">
        <v>42</v>
      </c>
      <c r="E30" s="9"/>
      <c r="F30" s="9"/>
    </row>
    <row r="31" spans="1:6" ht="28" x14ac:dyDescent="0.2">
      <c r="A31" s="9"/>
      <c r="B31" s="10" t="s">
        <v>43</v>
      </c>
      <c r="C31" s="13"/>
      <c r="D31" s="10" t="s">
        <v>44</v>
      </c>
      <c r="E31" s="9"/>
      <c r="F31" s="9"/>
    </row>
    <row r="32" spans="1:6" ht="28" x14ac:dyDescent="0.2">
      <c r="A32" s="9"/>
      <c r="B32" s="10" t="s">
        <v>45</v>
      </c>
      <c r="C32" s="13"/>
      <c r="D32" s="10" t="s">
        <v>46</v>
      </c>
      <c r="E32" s="9"/>
      <c r="F32" s="9"/>
    </row>
    <row r="33" spans="1:6" ht="21.75" customHeight="1" x14ac:dyDescent="0.2">
      <c r="A33" s="9"/>
      <c r="B33" s="10" t="s">
        <v>47</v>
      </c>
      <c r="C33" s="13"/>
      <c r="D33" s="10" t="s">
        <v>48</v>
      </c>
      <c r="E33" s="9"/>
      <c r="F33" s="9"/>
    </row>
    <row r="34" spans="1:6" ht="25.5" customHeight="1" x14ac:dyDescent="0.2">
      <c r="A34" s="4"/>
      <c r="B34" s="3" t="s">
        <v>49</v>
      </c>
      <c r="C34" s="14">
        <f>SUM(C29:C33)</f>
        <v>0</v>
      </c>
      <c r="D34" s="3" t="s">
        <v>50</v>
      </c>
      <c r="E34" s="4"/>
      <c r="F34" s="4"/>
    </row>
    <row r="35" spans="1:6" ht="6" customHeight="1" x14ac:dyDescent="0.2">
      <c r="A35" s="6"/>
      <c r="B35" s="6"/>
      <c r="C35" s="6"/>
      <c r="D35" s="6"/>
      <c r="E35" s="6"/>
      <c r="F35" s="9"/>
    </row>
    <row r="36" spans="1:6" ht="24" customHeight="1" x14ac:dyDescent="0.2">
      <c r="A36" s="9"/>
      <c r="B36" s="27" t="s">
        <v>51</v>
      </c>
      <c r="C36" s="27"/>
      <c r="D36" s="27"/>
      <c r="E36" s="9"/>
      <c r="F36" s="9"/>
    </row>
    <row r="37" spans="1:6" ht="60" customHeight="1" x14ac:dyDescent="0.2">
      <c r="A37" s="9"/>
      <c r="B37" s="28" t="s">
        <v>52</v>
      </c>
      <c r="C37" s="28"/>
      <c r="D37" s="28"/>
      <c r="E37" s="9"/>
      <c r="F37" s="9"/>
    </row>
    <row r="38" spans="1:6" ht="47" customHeight="1" x14ac:dyDescent="0.2">
      <c r="A38" s="9"/>
      <c r="B38" s="17" t="s">
        <v>53</v>
      </c>
      <c r="C38" s="18">
        <v>1</v>
      </c>
      <c r="D38" s="2" t="s">
        <v>54</v>
      </c>
      <c r="E38" s="9"/>
      <c r="F38" s="9"/>
    </row>
    <row r="39" spans="1:6" ht="28" x14ac:dyDescent="0.2">
      <c r="A39" s="4"/>
      <c r="B39" s="3" t="s">
        <v>55</v>
      </c>
      <c r="C39" s="14">
        <f>IFERROR(IF(C38&lt;=0,C34,C34/C38),C34)</f>
        <v>0</v>
      </c>
      <c r="D39" s="3" t="s">
        <v>56</v>
      </c>
      <c r="E39" s="4"/>
      <c r="F39" s="4"/>
    </row>
    <row r="40" spans="1:6" ht="6" customHeight="1" x14ac:dyDescent="0.2">
      <c r="A40" s="6"/>
      <c r="B40" s="6"/>
      <c r="C40" s="6"/>
      <c r="D40" s="6"/>
      <c r="E40" s="6"/>
      <c r="F40" s="9"/>
    </row>
    <row r="41" spans="1:6" ht="42" x14ac:dyDescent="0.2">
      <c r="A41" s="4"/>
      <c r="B41" s="3" t="s">
        <v>57</v>
      </c>
      <c r="C41" s="14">
        <f>C14+C25+C39</f>
        <v>0</v>
      </c>
      <c r="D41" s="3" t="s">
        <v>58</v>
      </c>
      <c r="E41" s="4"/>
      <c r="F41" s="4"/>
    </row>
  </sheetData>
  <mergeCells count="9">
    <mergeCell ref="B16:D16"/>
    <mergeCell ref="B27:D27"/>
    <mergeCell ref="B36:D36"/>
    <mergeCell ref="B37:D37"/>
    <mergeCell ref="B1:D1"/>
    <mergeCell ref="B2:D2"/>
    <mergeCell ref="B4:D4"/>
    <mergeCell ref="C5:D5"/>
    <mergeCell ref="B7:D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showGridLines="0" tabSelected="1" zoomScaleNormal="100" workbookViewId="0">
      <selection activeCell="K38" sqref="K38"/>
    </sheetView>
  </sheetViews>
  <sheetFormatPr baseColWidth="10" defaultColWidth="8.6640625" defaultRowHeight="15" x14ac:dyDescent="0.2"/>
  <cols>
    <col min="1" max="1" width="2" customWidth="1"/>
    <col min="2" max="2" width="36" customWidth="1"/>
    <col min="3" max="3" width="16" customWidth="1"/>
    <col min="4" max="6" width="36" customWidth="1"/>
    <col min="7" max="7" width="16" customWidth="1"/>
    <col min="8" max="8" width="2" customWidth="1"/>
  </cols>
  <sheetData>
    <row r="1" spans="1:8" ht="54.75" customHeight="1" x14ac:dyDescent="0.2">
      <c r="A1" s="19"/>
      <c r="B1" s="33" t="s">
        <v>59</v>
      </c>
      <c r="C1" s="33"/>
      <c r="D1" s="33"/>
      <c r="E1" s="33"/>
      <c r="F1" s="33"/>
      <c r="G1" s="33"/>
      <c r="H1" s="19"/>
    </row>
    <row r="2" spans="1:8" ht="25.5" customHeight="1" x14ac:dyDescent="0.2">
      <c r="A2" s="4"/>
      <c r="B2" s="30" t="s">
        <v>60</v>
      </c>
      <c r="C2" s="30"/>
      <c r="D2" s="30"/>
      <c r="E2" s="30"/>
      <c r="F2" s="30"/>
      <c r="G2" s="30"/>
      <c r="H2" s="4"/>
    </row>
    <row r="3" spans="1:8" ht="6" customHeight="1" x14ac:dyDescent="0.2">
      <c r="A3" s="6"/>
      <c r="B3" s="6"/>
      <c r="C3" s="6"/>
      <c r="D3" s="6"/>
      <c r="E3" s="6"/>
      <c r="F3" s="6"/>
      <c r="G3" s="6"/>
      <c r="H3" s="6"/>
    </row>
    <row r="4" spans="1:8" ht="24" customHeight="1" x14ac:dyDescent="0.2">
      <c r="A4" s="9"/>
      <c r="B4" s="34" t="s">
        <v>61</v>
      </c>
      <c r="C4" s="34"/>
      <c r="D4" s="34"/>
      <c r="E4" s="34"/>
      <c r="F4" s="34"/>
      <c r="G4" s="34"/>
      <c r="H4" s="9"/>
    </row>
    <row r="5" spans="1:8" ht="25.5" customHeight="1" x14ac:dyDescent="0.2">
      <c r="A5" s="4"/>
      <c r="B5" s="3" t="s">
        <v>62</v>
      </c>
      <c r="C5" s="14">
        <f>'1 - FILL YOUR COSTS'!F2</f>
        <v>0</v>
      </c>
      <c r="D5" s="29" t="s">
        <v>63</v>
      </c>
      <c r="E5" s="29"/>
      <c r="F5" s="29"/>
      <c r="G5" s="29"/>
      <c r="H5" s="4"/>
    </row>
    <row r="6" spans="1:8" ht="25.5" customHeight="1" x14ac:dyDescent="0.2">
      <c r="A6" s="4"/>
      <c r="B6" s="3" t="s">
        <v>64</v>
      </c>
      <c r="C6" s="14">
        <f>'1 - FILL YOUR COSTS'!F3</f>
        <v>0</v>
      </c>
      <c r="D6" s="29" t="s">
        <v>65</v>
      </c>
      <c r="E6" s="29"/>
      <c r="F6" s="29"/>
      <c r="G6" s="29"/>
      <c r="H6" s="4"/>
    </row>
    <row r="7" spans="1:8" ht="25.5" customHeight="1" x14ac:dyDescent="0.2">
      <c r="A7" s="4"/>
      <c r="B7" s="3" t="s">
        <v>66</v>
      </c>
      <c r="C7" s="14">
        <f>'1 - FILL YOUR COSTS'!F4</f>
        <v>0</v>
      </c>
      <c r="D7" s="29" t="s">
        <v>67</v>
      </c>
      <c r="E7" s="29"/>
      <c r="F7" s="29"/>
      <c r="G7" s="29"/>
      <c r="H7" s="4"/>
    </row>
    <row r="8" spans="1:8" ht="25.5" customHeight="1" x14ac:dyDescent="0.2">
      <c r="A8" s="4"/>
      <c r="B8" s="3" t="s">
        <v>68</v>
      </c>
      <c r="C8" s="14">
        <f>'1 - FILL YOUR COSTS'!F1</f>
        <v>0</v>
      </c>
      <c r="D8" s="29" t="s">
        <v>69</v>
      </c>
      <c r="E8" s="29"/>
      <c r="F8" s="29"/>
      <c r="G8" s="29"/>
      <c r="H8" s="4"/>
    </row>
    <row r="9" spans="1:8" ht="45" customHeight="1" x14ac:dyDescent="0.2">
      <c r="A9" s="9"/>
      <c r="B9" s="28" t="s">
        <v>70</v>
      </c>
      <c r="C9" s="28"/>
      <c r="D9" s="28"/>
      <c r="E9" s="28"/>
      <c r="F9" s="28"/>
      <c r="G9" s="28"/>
      <c r="H9" s="9"/>
    </row>
    <row r="10" spans="1:8" ht="6" customHeight="1" x14ac:dyDescent="0.2">
      <c r="A10" s="6"/>
      <c r="B10" s="6"/>
      <c r="C10" s="6"/>
      <c r="D10" s="6"/>
      <c r="E10" s="6"/>
      <c r="F10" s="6"/>
      <c r="G10" s="6"/>
      <c r="H10" s="6"/>
    </row>
    <row r="11" spans="1:8" ht="24" customHeight="1" x14ac:dyDescent="0.2">
      <c r="A11" s="9"/>
      <c r="B11" s="35" t="s">
        <v>71</v>
      </c>
      <c r="C11" s="35"/>
      <c r="D11" s="35"/>
      <c r="E11" s="35"/>
      <c r="F11" s="35"/>
      <c r="G11" s="35"/>
      <c r="H11" s="9"/>
    </row>
    <row r="12" spans="1:8" ht="36" customHeight="1" x14ac:dyDescent="0.2">
      <c r="A12" s="9"/>
      <c r="B12" s="17" t="s">
        <v>72</v>
      </c>
      <c r="C12" s="18">
        <v>26</v>
      </c>
      <c r="D12" s="36" t="s">
        <v>73</v>
      </c>
      <c r="E12" s="36"/>
      <c r="F12" s="36"/>
      <c r="G12" s="36"/>
      <c r="H12" s="9"/>
    </row>
    <row r="13" spans="1:8" ht="36" customHeight="1" x14ac:dyDescent="0.2">
      <c r="A13" s="9"/>
      <c r="B13" s="17" t="s">
        <v>74</v>
      </c>
      <c r="C13" s="20">
        <v>0.15</v>
      </c>
      <c r="D13" s="36" t="s">
        <v>75</v>
      </c>
      <c r="E13" s="36"/>
      <c r="F13" s="36"/>
      <c r="G13" s="36"/>
      <c r="H13" s="9"/>
    </row>
    <row r="14" spans="1:8" ht="30" customHeight="1" x14ac:dyDescent="0.2">
      <c r="A14" s="9"/>
      <c r="B14" s="37" t="s">
        <v>76</v>
      </c>
      <c r="C14" s="37"/>
      <c r="D14" s="37"/>
      <c r="E14" s="37"/>
      <c r="F14" s="37"/>
      <c r="G14" s="37"/>
      <c r="H14" s="9"/>
    </row>
    <row r="15" spans="1:8" ht="6" customHeight="1" x14ac:dyDescent="0.2">
      <c r="A15" s="6"/>
      <c r="B15" s="6"/>
      <c r="C15" s="6"/>
      <c r="D15" s="6"/>
      <c r="E15" s="6"/>
      <c r="F15" s="6"/>
      <c r="G15" s="6"/>
      <c r="H15" s="6"/>
    </row>
    <row r="16" spans="1:8" ht="30" customHeight="1" x14ac:dyDescent="0.2">
      <c r="A16" s="4"/>
      <c r="B16" s="29" t="s">
        <v>77</v>
      </c>
      <c r="C16" s="29"/>
      <c r="D16" s="29"/>
      <c r="E16" s="29"/>
      <c r="F16" s="29"/>
      <c r="G16" s="29"/>
      <c r="H16" s="4"/>
    </row>
    <row r="17" spans="1:8" ht="30" customHeight="1" x14ac:dyDescent="0.2">
      <c r="A17" s="4"/>
      <c r="B17" s="3" t="s">
        <v>78</v>
      </c>
      <c r="C17" s="14">
        <f>IFERROR('1 - FILL YOUR COSTS'!F1/C12,"")</f>
        <v>0</v>
      </c>
      <c r="D17" s="29" t="s">
        <v>79</v>
      </c>
      <c r="E17" s="29"/>
      <c r="F17" s="29"/>
      <c r="G17" s="29"/>
      <c r="H17" s="4"/>
    </row>
    <row r="18" spans="1:8" ht="36" customHeight="1" x14ac:dyDescent="0.2">
      <c r="A18" s="4"/>
      <c r="B18" s="3" t="s">
        <v>80</v>
      </c>
      <c r="C18" s="14">
        <f>IFERROR(('1 - FILL YOUR COSTS'!F1/C12)*(1+C13),"")</f>
        <v>0</v>
      </c>
      <c r="D18" s="29" t="s">
        <v>81</v>
      </c>
      <c r="E18" s="29"/>
      <c r="F18" s="29"/>
      <c r="G18" s="29"/>
      <c r="H18" s="4"/>
    </row>
    <row r="19" spans="1:8" ht="25.5" customHeight="1" x14ac:dyDescent="0.2">
      <c r="A19" s="4"/>
      <c r="B19" s="3" t="s">
        <v>82</v>
      </c>
      <c r="C19" s="14">
        <f>IFERROR('1 - FILL YOUR COSTS'!F2/C12,"")</f>
        <v>0</v>
      </c>
      <c r="D19" s="29" t="s">
        <v>83</v>
      </c>
      <c r="E19" s="29"/>
      <c r="F19" s="29"/>
      <c r="G19" s="29"/>
      <c r="H19" s="4"/>
    </row>
    <row r="20" spans="1:8" ht="25.5" customHeight="1" x14ac:dyDescent="0.2">
      <c r="A20" s="4"/>
      <c r="B20" s="3" t="s">
        <v>84</v>
      </c>
      <c r="C20" s="14">
        <f>IFERROR('1 - FILL YOUR COSTS'!F3/C12,"")</f>
        <v>0</v>
      </c>
      <c r="D20" s="29" t="s">
        <v>85</v>
      </c>
      <c r="E20" s="29"/>
      <c r="F20" s="29"/>
      <c r="G20" s="29"/>
      <c r="H20" s="4"/>
    </row>
    <row r="21" spans="1:8" ht="25.5" customHeight="1" x14ac:dyDescent="0.2">
      <c r="A21" s="4"/>
      <c r="B21" s="3" t="s">
        <v>86</v>
      </c>
      <c r="C21" s="14">
        <f>IFERROR('1 - FILL YOUR COSTS'!F4/C12,"")</f>
        <v>0</v>
      </c>
      <c r="D21" s="29" t="s">
        <v>87</v>
      </c>
      <c r="E21" s="29"/>
      <c r="F21" s="29"/>
      <c r="G21" s="29"/>
      <c r="H21" s="4"/>
    </row>
    <row r="22" spans="1:8" ht="30" customHeight="1" x14ac:dyDescent="0.2">
      <c r="A22" s="4"/>
      <c r="B22" s="3" t="s">
        <v>88</v>
      </c>
      <c r="C22" s="14">
        <f>IFERROR(('1 - FILL YOUR COSTS'!F1/C12)*(1+C13)*C12-'1 - FILL YOUR COSTS'!F1,"")</f>
        <v>0</v>
      </c>
      <c r="D22" s="29" t="s">
        <v>89</v>
      </c>
      <c r="E22" s="29"/>
      <c r="F22" s="29"/>
      <c r="G22" s="29"/>
      <c r="H22" s="4"/>
    </row>
    <row r="23" spans="1:8" ht="6" customHeight="1" x14ac:dyDescent="0.2">
      <c r="A23" s="6"/>
      <c r="B23" s="6"/>
      <c r="C23" s="6"/>
      <c r="D23" s="6"/>
      <c r="E23" s="6"/>
      <c r="F23" s="6"/>
      <c r="G23" s="6"/>
      <c r="H23" s="6"/>
    </row>
    <row r="24" spans="1:8" ht="24" customHeight="1" x14ac:dyDescent="0.2">
      <c r="A24" s="9"/>
      <c r="B24" s="35" t="s">
        <v>90</v>
      </c>
      <c r="C24" s="35"/>
      <c r="D24" s="35"/>
      <c r="E24" s="35"/>
      <c r="F24" s="35"/>
      <c r="G24" s="35"/>
      <c r="H24" s="9"/>
    </row>
    <row r="25" spans="1:8" ht="21.75" customHeight="1" x14ac:dyDescent="0.2">
      <c r="A25" s="9"/>
      <c r="B25" s="1" t="s">
        <v>91</v>
      </c>
      <c r="C25" s="12" t="s">
        <v>92</v>
      </c>
      <c r="D25" s="38" t="s">
        <v>93</v>
      </c>
      <c r="E25" s="38"/>
      <c r="F25" s="38"/>
      <c r="G25" s="38"/>
      <c r="H25" s="9"/>
    </row>
    <row r="26" spans="1:8" ht="30" customHeight="1" x14ac:dyDescent="0.2">
      <c r="A26" s="4"/>
      <c r="B26" s="3" t="s">
        <v>94</v>
      </c>
      <c r="C26" s="14">
        <f>IFERROR(('1 - FILL YOUR COSTS'!F1/C12)*(1+C13),"")</f>
        <v>0</v>
      </c>
      <c r="D26" s="29" t="s">
        <v>95</v>
      </c>
      <c r="E26" s="29"/>
      <c r="F26" s="29"/>
      <c r="G26" s="29"/>
      <c r="H26" s="4"/>
    </row>
    <row r="27" spans="1:8" ht="30" customHeight="1" x14ac:dyDescent="0.2">
      <c r="A27" s="4"/>
      <c r="B27" s="3" t="s">
        <v>96</v>
      </c>
      <c r="C27" s="14">
        <f>IFERROR('1 - FILL YOUR COSTS'!F1/C12*1.05,"")</f>
        <v>0</v>
      </c>
      <c r="D27" s="29" t="s">
        <v>97</v>
      </c>
      <c r="E27" s="29"/>
      <c r="F27" s="29"/>
      <c r="G27" s="29"/>
      <c r="H27" s="4"/>
    </row>
    <row r="28" spans="1:8" ht="30" customHeight="1" x14ac:dyDescent="0.2">
      <c r="A28" s="4"/>
      <c r="B28" s="3" t="s">
        <v>98</v>
      </c>
      <c r="C28" s="14">
        <f>IFERROR('1 - FILL YOUR COSTS'!F1/C12,"")</f>
        <v>0</v>
      </c>
      <c r="D28" s="29" t="s">
        <v>99</v>
      </c>
      <c r="E28" s="29"/>
      <c r="F28" s="29"/>
      <c r="G28" s="29"/>
      <c r="H28" s="4"/>
    </row>
    <row r="29" spans="1:8" ht="30" customHeight="1" x14ac:dyDescent="0.2">
      <c r="A29" s="4"/>
      <c r="B29" s="3" t="s">
        <v>100</v>
      </c>
      <c r="C29" s="14">
        <f>IFERROR('1 - FILL YOUR COSTS'!F1/C12*1.2,"")</f>
        <v>0</v>
      </c>
      <c r="D29" s="29" t="s">
        <v>101</v>
      </c>
      <c r="E29" s="29"/>
      <c r="F29" s="29"/>
      <c r="G29" s="29"/>
      <c r="H29" s="4"/>
    </row>
    <row r="30" spans="1:8" ht="30" customHeight="1" x14ac:dyDescent="0.2">
      <c r="A30" s="4"/>
      <c r="B30" s="3" t="s">
        <v>102</v>
      </c>
      <c r="C30" s="14">
        <f>IFERROR('1 - FILL YOUR COSTS'!F1/C12*1.35,"")</f>
        <v>0</v>
      </c>
      <c r="D30" s="29" t="s">
        <v>103</v>
      </c>
      <c r="E30" s="29"/>
      <c r="F30" s="29"/>
      <c r="G30" s="29"/>
      <c r="H30" s="4"/>
    </row>
    <row r="31" spans="1:8" ht="30" customHeight="1" x14ac:dyDescent="0.2">
      <c r="A31" s="4"/>
      <c r="B31" s="3" t="s">
        <v>104</v>
      </c>
      <c r="C31" s="14">
        <f>IFERROR('1 - FILL YOUR COSTS'!F1/C12*1.6,"")</f>
        <v>0</v>
      </c>
      <c r="D31" s="29" t="s">
        <v>105</v>
      </c>
      <c r="E31" s="29"/>
      <c r="F31" s="29"/>
      <c r="G31" s="29"/>
      <c r="H31" s="4"/>
    </row>
    <row r="32" spans="1:8" ht="6" customHeight="1" x14ac:dyDescent="0.2">
      <c r="A32" s="6"/>
      <c r="B32" s="6"/>
      <c r="C32" s="6"/>
      <c r="D32" s="6"/>
      <c r="E32" s="6"/>
      <c r="F32" s="6"/>
      <c r="G32" s="6"/>
      <c r="H32" s="6"/>
    </row>
    <row r="33" spans="1:8" ht="24" customHeight="1" x14ac:dyDescent="0.2">
      <c r="A33" s="9"/>
      <c r="B33" s="41" t="s">
        <v>106</v>
      </c>
      <c r="C33" s="41"/>
      <c r="D33" s="41"/>
      <c r="E33" s="41"/>
      <c r="F33" s="41"/>
      <c r="G33" s="41"/>
      <c r="H33" s="9"/>
    </row>
    <row r="34" spans="1:8" ht="21.75" customHeight="1" x14ac:dyDescent="0.2">
      <c r="A34" s="9"/>
      <c r="B34" s="21" t="s">
        <v>107</v>
      </c>
      <c r="C34" s="12" t="s">
        <v>108</v>
      </c>
      <c r="D34" s="12" t="s">
        <v>109</v>
      </c>
      <c r="E34" s="12" t="s">
        <v>110</v>
      </c>
      <c r="F34" s="12" t="s">
        <v>111</v>
      </c>
      <c r="G34" s="42" t="s">
        <v>112</v>
      </c>
      <c r="H34" s="42"/>
    </row>
    <row r="35" spans="1:8" ht="25.5" customHeight="1" x14ac:dyDescent="0.2">
      <c r="A35" s="4"/>
      <c r="B35" s="22" t="s">
        <v>113</v>
      </c>
      <c r="C35" s="23">
        <f>10/31</f>
        <v>0.32258064516129031</v>
      </c>
      <c r="D35" s="14">
        <f>IFERROR('1 - FILL YOUR COSTS'!F1/10,"")</f>
        <v>0</v>
      </c>
      <c r="E35" s="14">
        <f>IFERROR('1 - FILL YOUR COSTS'!F1/10*(1+C$13),"")</f>
        <v>0</v>
      </c>
      <c r="F35" s="14">
        <f>IFERROR(('1 - FILL YOUR COSTS'!F1/C$12)*(1+C$13)*10-'1 - FILL YOUR COSTS'!F1,"")</f>
        <v>0</v>
      </c>
      <c r="G35" s="24" t="str">
        <f>IFERROR(IF(10/C$12&lt;0.5,"Loss-making",IF(10/C$12&lt;0.6,"Loss-making",IF(10/C$12&lt;0.65,"Borderline",IF(10/C$12&lt;0.72,"Marginal",IF(10/C$12&lt;0.82,"Profitable",IF(10/C$12&lt;0.92,"Strong","Peak")))))),"")</f>
        <v>Loss-making</v>
      </c>
      <c r="H35" s="4"/>
    </row>
    <row r="36" spans="1:8" ht="25.5" customHeight="1" x14ac:dyDescent="0.2">
      <c r="A36" s="4"/>
      <c r="B36" s="22" t="s">
        <v>114</v>
      </c>
      <c r="C36" s="23">
        <f>15/31</f>
        <v>0.4838709677419355</v>
      </c>
      <c r="D36" s="14">
        <f>IFERROR('1 - FILL YOUR COSTS'!F1/15,"")</f>
        <v>0</v>
      </c>
      <c r="E36" s="14">
        <f>IFERROR('1 - FILL YOUR COSTS'!F1/15*(1+C$13),"")</f>
        <v>0</v>
      </c>
      <c r="F36" s="14">
        <f>IFERROR(('1 - FILL YOUR COSTS'!F1/C$12)*(1+C$13)*15-'1 - FILL YOUR COSTS'!F1,"")</f>
        <v>0</v>
      </c>
      <c r="G36" s="24" t="str">
        <f>IFERROR(IF(15/C$12&lt;0.5,"Loss-making",IF(15/C$12&lt;0.6,"Loss-making",IF(15/C$12&lt;0.65,"Borderline",IF(15/C$12&lt;0.72,"Marginal",IF(15/C$12&lt;0.82,"Profitable",IF(15/C$12&lt;0.92,"Strong","Peak")))))),"")</f>
        <v>Loss-making</v>
      </c>
      <c r="H36" s="4"/>
    </row>
    <row r="37" spans="1:8" ht="25.5" customHeight="1" x14ac:dyDescent="0.2">
      <c r="A37" s="4"/>
      <c r="B37" s="22" t="s">
        <v>115</v>
      </c>
      <c r="C37" s="23">
        <f>18/31</f>
        <v>0.58064516129032262</v>
      </c>
      <c r="D37" s="14">
        <f>IFERROR('1 - FILL YOUR COSTS'!F1/18,"")</f>
        <v>0</v>
      </c>
      <c r="E37" s="14">
        <f>IFERROR('1 - FILL YOUR COSTS'!F1/18*(1+C$13),"")</f>
        <v>0</v>
      </c>
      <c r="F37" s="14">
        <f>IFERROR(('1 - FILL YOUR COSTS'!F1/C$12)*(1+C$13)*18-'1 - FILL YOUR COSTS'!F1,"")</f>
        <v>0</v>
      </c>
      <c r="G37" s="24" t="str">
        <f>IFERROR(IF(18/C$12&lt;0.5,"Loss-making",IF(18/C$12&lt;0.6,"Loss-making",IF(18/C$12&lt;0.65,"Borderline",IF(18/C$12&lt;0.72,"Marginal",IF(18/C$12&lt;0.82,"Profitable",IF(18/C$12&lt;0.92,"Strong","Peak")))))),"")</f>
        <v>Marginal</v>
      </c>
      <c r="H37" s="4"/>
    </row>
    <row r="38" spans="1:8" ht="25.5" customHeight="1" x14ac:dyDescent="0.2">
      <c r="A38" s="4"/>
      <c r="B38" s="22" t="s">
        <v>116</v>
      </c>
      <c r="C38" s="23">
        <f>20/31</f>
        <v>0.64516129032258063</v>
      </c>
      <c r="D38" s="14">
        <f>IFERROR('1 - FILL YOUR COSTS'!F1/20,"")</f>
        <v>0</v>
      </c>
      <c r="E38" s="14">
        <f>IFERROR('1 - FILL YOUR COSTS'!F1/20*(1+C$13),"")</f>
        <v>0</v>
      </c>
      <c r="F38" s="14">
        <f>IFERROR(('1 - FILL YOUR COSTS'!F1/C$12)*(1+C$13)*20-'1 - FILL YOUR COSTS'!F1,"")</f>
        <v>0</v>
      </c>
      <c r="G38" s="24" t="str">
        <f>IFERROR(IF(20/C$12&lt;0.5,"Loss-making",IF(20/C$12&lt;0.6,"Loss-making",IF(20/C$12&lt;0.65,"Borderline",IF(20/C$12&lt;0.72,"Marginal",IF(20/C$12&lt;0.82,"Profitable",IF(20/C$12&lt;0.92,"Strong","Peak")))))),"")</f>
        <v>Profitable</v>
      </c>
      <c r="H38" s="4"/>
    </row>
    <row r="39" spans="1:8" ht="25.5" customHeight="1" x14ac:dyDescent="0.2">
      <c r="A39" s="4"/>
      <c r="B39" s="22" t="s">
        <v>117</v>
      </c>
      <c r="C39" s="23">
        <f>22/31</f>
        <v>0.70967741935483875</v>
      </c>
      <c r="D39" s="14">
        <f>IFERROR('1 - FILL YOUR COSTS'!F1/22,"")</f>
        <v>0</v>
      </c>
      <c r="E39" s="14">
        <f>IFERROR('1 - FILL YOUR COSTS'!F1/22*(1+C$13),"")</f>
        <v>0</v>
      </c>
      <c r="F39" s="14">
        <f>IFERROR(('1 - FILL YOUR COSTS'!F1/C$12)*(1+C$13)*22-'1 - FILL YOUR COSTS'!F1,"")</f>
        <v>0</v>
      </c>
      <c r="G39" s="24" t="str">
        <f>IFERROR(IF(22/C$12&lt;0.5,"Loss-making",IF(22/C$12&lt;0.6,"Loss-making",IF(22/C$12&lt;0.65,"Borderline",IF(22/C$12&lt;0.72,"Marginal",IF(22/C$12&lt;0.82,"Profitable",IF(22/C$12&lt;0.92,"Strong","Peak")))))),"")</f>
        <v>Strong</v>
      </c>
      <c r="H39" s="4"/>
    </row>
    <row r="40" spans="1:8" ht="25.5" customHeight="1" x14ac:dyDescent="0.2">
      <c r="A40" s="4"/>
      <c r="B40" s="22" t="s">
        <v>118</v>
      </c>
      <c r="C40" s="23">
        <f>24/31</f>
        <v>0.77419354838709675</v>
      </c>
      <c r="D40" s="14">
        <f>IFERROR('1 - FILL YOUR COSTS'!F1/24,"")</f>
        <v>0</v>
      </c>
      <c r="E40" s="14">
        <f>IFERROR('1 - FILL YOUR COSTS'!F1/24*(1+C$13),"")</f>
        <v>0</v>
      </c>
      <c r="F40" s="14">
        <f>IFERROR(('1 - FILL YOUR COSTS'!F1/C$12)*(1+C$13)*24-'1 - FILL YOUR COSTS'!F1,"")</f>
        <v>0</v>
      </c>
      <c r="G40" s="24" t="str">
        <f>IFERROR(IF(24/C$12&lt;0.5,"Loss-making",IF(24/C$12&lt;0.6,"Loss-making",IF(24/C$12&lt;0.65,"Borderline",IF(24/C$12&lt;0.72,"Marginal",IF(24/C$12&lt;0.82,"Profitable",IF(24/C$12&lt;0.92,"Strong","Peak")))))),"")</f>
        <v>Peak</v>
      </c>
      <c r="H40" s="4"/>
    </row>
    <row r="41" spans="1:8" ht="25.5" customHeight="1" x14ac:dyDescent="0.2">
      <c r="A41" s="4"/>
      <c r="B41" s="22" t="s">
        <v>119</v>
      </c>
      <c r="C41" s="23">
        <f>26/31</f>
        <v>0.83870967741935487</v>
      </c>
      <c r="D41" s="14">
        <f>IFERROR('1 - FILL YOUR COSTS'!F1/26,"")</f>
        <v>0</v>
      </c>
      <c r="E41" s="14">
        <f>IFERROR('1 - FILL YOUR COSTS'!F1/26*(1+C$13),"")</f>
        <v>0</v>
      </c>
      <c r="F41" s="14">
        <f>IFERROR(('1 - FILL YOUR COSTS'!F1/C$12)*(1+C$13)*26-'1 - FILL YOUR COSTS'!F1,"")</f>
        <v>0</v>
      </c>
      <c r="G41" s="24" t="str">
        <f>IFERROR(IF(26/C$12&lt;0.5,"Loss-making",IF(26/C$12&lt;0.6,"Loss-making",IF(26/C$12&lt;0.65,"Borderline",IF(26/C$12&lt;0.72,"Marginal",IF(26/C$12&lt;0.82,"Profitable",IF(26/C$12&lt;0.92,"Strong","Peak")))))),"")</f>
        <v>Peak</v>
      </c>
      <c r="H41" s="4"/>
    </row>
    <row r="42" spans="1:8" ht="25.5" customHeight="1" x14ac:dyDescent="0.2">
      <c r="A42" s="4"/>
      <c r="B42" s="22" t="s">
        <v>120</v>
      </c>
      <c r="C42" s="23">
        <f>28/31</f>
        <v>0.90322580645161288</v>
      </c>
      <c r="D42" s="14">
        <f>IFERROR('1 - FILL YOUR COSTS'!F1/28,"")</f>
        <v>0</v>
      </c>
      <c r="E42" s="14">
        <f>IFERROR('1 - FILL YOUR COSTS'!F1/28*(1+C$13),"")</f>
        <v>0</v>
      </c>
      <c r="F42" s="14">
        <f>IFERROR(('1 - FILL YOUR COSTS'!F1/C$12)*(1+C$13)*28-'1 - FILL YOUR COSTS'!F1,"")</f>
        <v>0</v>
      </c>
      <c r="G42" s="24" t="str">
        <f>IFERROR(IF(28/C$12&lt;0.5,"Loss-making",IF(28/C$12&lt;0.6,"Loss-making",IF(28/C$12&lt;0.65,"Borderline",IF(28/C$12&lt;0.72,"Marginal",IF(28/C$12&lt;0.82,"Profitable",IF(28/C$12&lt;0.92,"Strong","Peak")))))),"")</f>
        <v>Peak</v>
      </c>
      <c r="H42" s="4"/>
    </row>
    <row r="43" spans="1:8" ht="25.5" customHeight="1" x14ac:dyDescent="0.2">
      <c r="A43" s="4"/>
      <c r="B43" s="22" t="s">
        <v>121</v>
      </c>
      <c r="C43" s="23">
        <f>30/31</f>
        <v>0.967741935483871</v>
      </c>
      <c r="D43" s="14">
        <f>IFERROR('1 - FILL YOUR COSTS'!F1/30,"")</f>
        <v>0</v>
      </c>
      <c r="E43" s="14">
        <f>IFERROR('1 - FILL YOUR COSTS'!F1/30*(1+C$13),"")</f>
        <v>0</v>
      </c>
      <c r="F43" s="14">
        <f>IFERROR(('1 - FILL YOUR COSTS'!F1/C$12)*(1+C$13)*30-'1 - FILL YOUR COSTS'!F1,"")</f>
        <v>0</v>
      </c>
      <c r="G43" s="24" t="str">
        <f>IFERROR(IF(30/C$12&lt;0.5,"Loss-making",IF(30/C$12&lt;0.6,"Loss-making",IF(30/C$12&lt;0.65,"Borderline",IF(30/C$12&lt;0.72,"Marginal",IF(30/C$12&lt;0.82,"Profitable",IF(30/C$12&lt;0.92,"Strong","Peak")))))),"")</f>
        <v>Peak</v>
      </c>
      <c r="H43" s="4"/>
    </row>
    <row r="44" spans="1:8" ht="25.5" customHeight="1" x14ac:dyDescent="0.2">
      <c r="A44" s="4"/>
      <c r="B44" s="22" t="s">
        <v>122</v>
      </c>
      <c r="C44" s="23">
        <f>31/31</f>
        <v>1</v>
      </c>
      <c r="D44" s="14">
        <f>IFERROR('1 - FILL YOUR COSTS'!F1/31,"")</f>
        <v>0</v>
      </c>
      <c r="E44" s="14">
        <f>IFERROR('1 - FILL YOUR COSTS'!F1/31*(1+C$13),"")</f>
        <v>0</v>
      </c>
      <c r="F44" s="14">
        <f>IFERROR(('1 - FILL YOUR COSTS'!F1/C$12)*(1+C$13)*31-'1 - FILL YOUR COSTS'!F1,"")</f>
        <v>0</v>
      </c>
      <c r="G44" s="24" t="str">
        <f>IFERROR(IF(31/C$12&lt;0.5,"Loss-making",IF(31/C$12&lt;0.6,"Loss-making",IF(31/C$12&lt;0.65,"Borderline",IF(31/C$12&lt;0.72,"Marginal",IF(31/C$12&lt;0.82,"Profitable",IF(31/C$12&lt;0.92,"Strong","Peak")))))),"")</f>
        <v>Peak</v>
      </c>
      <c r="H44" s="4"/>
    </row>
    <row r="45" spans="1:8" ht="6" customHeight="1" x14ac:dyDescent="0.2">
      <c r="A45" s="6"/>
      <c r="B45" s="6"/>
      <c r="C45" s="6"/>
      <c r="D45" s="6"/>
      <c r="E45" s="6"/>
      <c r="F45" s="6"/>
      <c r="G45" s="6"/>
      <c r="H45" s="6"/>
    </row>
    <row r="46" spans="1:8" ht="24" customHeight="1" x14ac:dyDescent="0.2">
      <c r="A46" s="9"/>
      <c r="B46" s="43" t="s">
        <v>123</v>
      </c>
      <c r="C46" s="43"/>
      <c r="D46" s="43"/>
      <c r="E46" s="43"/>
      <c r="F46" s="43"/>
      <c r="G46" s="43"/>
      <c r="H46" s="9"/>
    </row>
    <row r="47" spans="1:8" ht="21.75" customHeight="1" x14ac:dyDescent="0.2">
      <c r="A47" s="9"/>
      <c r="B47" s="39" t="s">
        <v>124</v>
      </c>
      <c r="C47" s="39"/>
      <c r="D47" s="39"/>
      <c r="E47" s="39"/>
      <c r="F47" s="39"/>
      <c r="G47" s="39"/>
      <c r="H47" s="9"/>
    </row>
    <row r="48" spans="1:8" ht="21.75" customHeight="1" x14ac:dyDescent="0.2">
      <c r="A48" s="9"/>
      <c r="B48" s="40" t="s">
        <v>126</v>
      </c>
      <c r="C48" s="40"/>
      <c r="D48" s="40"/>
      <c r="E48" s="40"/>
      <c r="F48" s="40"/>
      <c r="G48" s="40"/>
      <c r="H48" s="9"/>
    </row>
    <row r="49" spans="1:8" ht="21.75" customHeight="1" x14ac:dyDescent="0.2">
      <c r="A49" s="9"/>
      <c r="B49" s="40" t="s">
        <v>125</v>
      </c>
      <c r="C49" s="40"/>
      <c r="D49" s="40"/>
      <c r="E49" s="40"/>
      <c r="F49" s="40"/>
      <c r="G49" s="40"/>
      <c r="H49" s="9"/>
    </row>
  </sheetData>
  <mergeCells count="33">
    <mergeCell ref="B47:G47"/>
    <mergeCell ref="B48:G48"/>
    <mergeCell ref="B49:G49"/>
    <mergeCell ref="D30:G30"/>
    <mergeCell ref="D31:G31"/>
    <mergeCell ref="B33:G33"/>
    <mergeCell ref="G34:H34"/>
    <mergeCell ref="B46:G46"/>
    <mergeCell ref="D25:G25"/>
    <mergeCell ref="D26:G26"/>
    <mergeCell ref="D27:G27"/>
    <mergeCell ref="D28:G28"/>
    <mergeCell ref="D29:G29"/>
    <mergeCell ref="D19:G19"/>
    <mergeCell ref="D20:G20"/>
    <mergeCell ref="D21:G21"/>
    <mergeCell ref="D22:G22"/>
    <mergeCell ref="B24:G24"/>
    <mergeCell ref="D13:G13"/>
    <mergeCell ref="B14:G14"/>
    <mergeCell ref="B16:G16"/>
    <mergeCell ref="D17:G17"/>
    <mergeCell ref="D18:G18"/>
    <mergeCell ref="D7:G7"/>
    <mergeCell ref="D8:G8"/>
    <mergeCell ref="B9:G9"/>
    <mergeCell ref="B11:G11"/>
    <mergeCell ref="D12:G12"/>
    <mergeCell ref="B1:G1"/>
    <mergeCell ref="B2:G2"/>
    <mergeCell ref="B4:G4"/>
    <mergeCell ref="D5:G5"/>
    <mergeCell ref="D6:G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1 - FILL YOUR COSTS</vt:lpstr>
      <vt:lpstr>2 - YOUR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Damiano Pesciaioli</cp:lastModifiedBy>
  <cp:revision>0</cp:revision>
  <dcterms:created xsi:type="dcterms:W3CDTF">2026-03-28T15:01:11Z</dcterms:created>
  <dcterms:modified xsi:type="dcterms:W3CDTF">2026-04-02T13:41:55Z</dcterms:modified>
  <dc:language>en-US</dc:language>
</cp:coreProperties>
</file>